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工作\酷睿创显\公司客户\成交客户\约旦 Creative Vision\已成交项目\20260520 Ayass Hotel\"/>
    </mc:Choice>
  </mc:AlternateContent>
  <xr:revisionPtr revIDLastSave="0" documentId="13_ncr:1_{257670FD-5F48-49B0-A07A-C2D69474D7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3)" sheetId="4" r:id="rId1"/>
    <sheet name="Sheet1" sheetId="5" r:id="rId2"/>
  </sheets>
  <calcPr calcId="191029"/>
</workbook>
</file>

<file path=xl/calcChain.xml><?xml version="1.0" encoding="utf-8"?>
<calcChain xmlns="http://schemas.openxmlformats.org/spreadsheetml/2006/main">
  <c r="H11" i="4" l="1"/>
  <c r="H16" i="4"/>
  <c r="H12" i="4"/>
  <c r="H13" i="4"/>
  <c r="H10" i="4"/>
  <c r="H9" i="4" l="1"/>
  <c r="J14" i="4" l="1"/>
  <c r="J15" i="4"/>
  <c r="H15" i="4"/>
  <c r="K14" i="5"/>
  <c r="I14" i="5"/>
  <c r="J14" i="5"/>
  <c r="D14" i="5"/>
  <c r="E14" i="5"/>
  <c r="F14" i="5"/>
  <c r="G14" i="5"/>
  <c r="H14" i="5"/>
  <c r="H12" i="5"/>
  <c r="I13" i="5"/>
  <c r="H13" i="5"/>
  <c r="H11" i="5"/>
  <c r="I11" i="5"/>
  <c r="J11" i="5"/>
  <c r="I12" i="5"/>
  <c r="J12" i="5"/>
  <c r="J13" i="5"/>
  <c r="J10" i="5"/>
  <c r="I10" i="5"/>
  <c r="H10" i="5"/>
  <c r="E10" i="5"/>
  <c r="H14" i="4"/>
  <c r="J16" i="4" l="1"/>
</calcChain>
</file>

<file path=xl/sharedStrings.xml><?xml version="1.0" encoding="utf-8"?>
<sst xmlns="http://schemas.openxmlformats.org/spreadsheetml/2006/main" count="52" uniqueCount="43">
  <si>
    <t>PO</t>
  </si>
  <si>
    <t>PI</t>
  </si>
  <si>
    <r>
      <t xml:space="preserve">Address
</t>
    </r>
    <r>
      <rPr>
        <b/>
        <sz val="10"/>
        <color theme="1"/>
        <rFont val="宋体"/>
        <family val="2"/>
        <charset val="134"/>
      </rPr>
      <t>（地址）</t>
    </r>
    <phoneticPr fontId="2" type="noConversion"/>
  </si>
  <si>
    <r>
      <t xml:space="preserve">Phone number
</t>
    </r>
    <r>
      <rPr>
        <b/>
        <sz val="10"/>
        <color theme="1"/>
        <rFont val="宋体"/>
        <family val="2"/>
        <charset val="134"/>
      </rPr>
      <t>（联系电话）</t>
    </r>
    <phoneticPr fontId="2" type="noConversion"/>
  </si>
  <si>
    <r>
      <t xml:space="preserve">ITEM NAME
</t>
    </r>
    <r>
      <rPr>
        <b/>
        <sz val="10"/>
        <rFont val="宋体"/>
        <family val="2"/>
        <charset val="134"/>
      </rPr>
      <t>（商品名称）</t>
    </r>
    <phoneticPr fontId="2" type="noConversion"/>
  </si>
  <si>
    <r>
      <t xml:space="preserve">Project
</t>
    </r>
    <r>
      <rPr>
        <b/>
        <sz val="10"/>
        <color theme="1"/>
        <rFont val="宋体"/>
        <family val="2"/>
        <charset val="134"/>
      </rPr>
      <t>（项目名称）</t>
    </r>
    <phoneticPr fontId="2" type="noConversion"/>
  </si>
  <si>
    <r>
      <t xml:space="preserve">QUANTITY
</t>
    </r>
    <r>
      <rPr>
        <b/>
        <sz val="10"/>
        <rFont val="宋体"/>
        <family val="2"/>
        <charset val="134"/>
      </rPr>
      <t>（数量）</t>
    </r>
    <phoneticPr fontId="2" type="noConversion"/>
  </si>
  <si>
    <r>
      <t>UNIT PRICE
(</t>
    </r>
    <r>
      <rPr>
        <b/>
        <sz val="10"/>
        <rFont val="宋体"/>
        <family val="2"/>
        <charset val="134"/>
      </rPr>
      <t>单价</t>
    </r>
    <r>
      <rPr>
        <b/>
        <sz val="10"/>
        <rFont val="Arial"/>
        <family val="2"/>
      </rPr>
      <t>)</t>
    </r>
    <phoneticPr fontId="2" type="noConversion"/>
  </si>
  <si>
    <r>
      <t>AMOUNT
(</t>
    </r>
    <r>
      <rPr>
        <b/>
        <sz val="10"/>
        <rFont val="宋体"/>
        <family val="2"/>
        <charset val="134"/>
      </rPr>
      <t>总额</t>
    </r>
    <r>
      <rPr>
        <b/>
        <sz val="10"/>
        <rFont val="Arial"/>
        <family val="2"/>
      </rPr>
      <t>)</t>
    </r>
    <phoneticPr fontId="2" type="noConversion"/>
  </si>
  <si>
    <r>
      <t>Sum
(</t>
    </r>
    <r>
      <rPr>
        <b/>
        <sz val="10"/>
        <color theme="1"/>
        <rFont val="宋体"/>
        <family val="2"/>
        <charset val="134"/>
      </rPr>
      <t>总额</t>
    </r>
    <r>
      <rPr>
        <b/>
        <sz val="10"/>
        <color theme="1"/>
        <rFont val="Arial"/>
        <family val="2"/>
      </rPr>
      <t>)</t>
    </r>
    <phoneticPr fontId="2" type="noConversion"/>
  </si>
  <si>
    <r>
      <t xml:space="preserve">Bank 
Information
</t>
    </r>
    <r>
      <rPr>
        <b/>
        <sz val="10"/>
        <color theme="1"/>
        <rFont val="宋体"/>
        <family val="2"/>
        <charset val="134"/>
      </rPr>
      <t>（账户信息）</t>
    </r>
    <phoneticPr fontId="2" type="noConversion"/>
  </si>
  <si>
    <r>
      <t>Benificiary Name:  Shenzhen Creative Media technology Co., LTD
Benificiary Address: 1301-F13,Qihang Building,Matian Street,Guangming New District,Shenzhen,China
Bank Name</t>
    </r>
    <r>
      <rPr>
        <b/>
        <sz val="10"/>
        <color theme="1"/>
        <rFont val="宋体"/>
        <family val="2"/>
        <charset val="134"/>
      </rPr>
      <t>：</t>
    </r>
    <r>
      <rPr>
        <b/>
        <sz val="10"/>
        <color theme="1"/>
        <rFont val="Arial"/>
        <family val="2"/>
      </rPr>
      <t>BANK OF CHINA SHENZHEN BRANCH GONGMING SUB-BRANCH
Bank Address</t>
    </r>
    <r>
      <rPr>
        <b/>
        <sz val="10"/>
        <color theme="1"/>
        <rFont val="宋体"/>
        <family val="2"/>
        <charset val="134"/>
      </rPr>
      <t>：</t>
    </r>
    <r>
      <rPr>
        <b/>
        <sz val="10"/>
        <color theme="1"/>
        <rFont val="Arial"/>
        <family val="2"/>
      </rPr>
      <t xml:space="preserve"> NO.1 XINGFA ROAD, GONGMING TOWN GUANGMING DISTRICT, SHENZHEN CHINA
Bank Account: 7523 7445 8455
SWIFT CODE:  BKCHCNBJ45A</t>
    </r>
    <phoneticPr fontId="2" type="noConversion"/>
  </si>
  <si>
    <r>
      <t xml:space="preserve">Consignee
</t>
    </r>
    <r>
      <rPr>
        <b/>
        <sz val="10"/>
        <color theme="1"/>
        <rFont val="宋体"/>
        <family val="2"/>
        <charset val="134"/>
      </rPr>
      <t>（公司）</t>
    </r>
    <phoneticPr fontId="2" type="noConversion"/>
  </si>
  <si>
    <r>
      <t xml:space="preserve">Contact
</t>
    </r>
    <r>
      <rPr>
        <b/>
        <sz val="10"/>
        <color theme="1"/>
        <rFont val="宋体"/>
        <family val="2"/>
        <charset val="134"/>
      </rPr>
      <t>（收货人）</t>
    </r>
    <phoneticPr fontId="2" type="noConversion"/>
  </si>
  <si>
    <r>
      <t>S/C No.
(</t>
    </r>
    <r>
      <rPr>
        <b/>
        <sz val="10"/>
        <color theme="1"/>
        <rFont val="宋体"/>
        <family val="2"/>
        <charset val="134"/>
      </rPr>
      <t>合同编号）</t>
    </r>
    <phoneticPr fontId="2" type="noConversion"/>
  </si>
  <si>
    <r>
      <t xml:space="preserve">S/C Date
</t>
    </r>
    <r>
      <rPr>
        <b/>
        <sz val="10"/>
        <color theme="1"/>
        <rFont val="宋体"/>
        <family val="2"/>
        <charset val="134"/>
      </rPr>
      <t>（日期）</t>
    </r>
    <phoneticPr fontId="2" type="noConversion"/>
  </si>
  <si>
    <t>pcs</t>
    <phoneticPr fontId="2" type="noConversion"/>
  </si>
  <si>
    <t>lead cable</t>
    <phoneticPr fontId="2" type="noConversion"/>
  </si>
  <si>
    <r>
      <t xml:space="preserve">DESCRIPTION
</t>
    </r>
    <r>
      <rPr>
        <b/>
        <sz val="10"/>
        <rFont val="宋体"/>
        <family val="2"/>
        <charset val="134"/>
      </rPr>
      <t>（商品描述）</t>
    </r>
  </si>
  <si>
    <t>Image
(图像)</t>
  </si>
  <si>
    <r>
      <t xml:space="preserve">                                              </t>
    </r>
    <r>
      <rPr>
        <b/>
        <sz val="14"/>
        <color theme="1"/>
        <rFont val="Arial"/>
        <family val="2"/>
      </rPr>
      <t xml:space="preserve">  </t>
    </r>
    <r>
      <rPr>
        <b/>
        <sz val="16"/>
        <color theme="1"/>
        <rFont val="Arial"/>
        <family val="2"/>
      </rPr>
      <t>SHENZHEN CREATIVE MEDIA TECHNOLOGY CO., LTD</t>
    </r>
    <r>
      <rPr>
        <b/>
        <sz val="10"/>
        <color theme="1"/>
        <rFont val="Arial"/>
        <family val="2"/>
      </rPr>
      <t xml:space="preserve">
                                              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Add: 1301-F13,Qihang Building, Matian street, Guangming New District, 
                       Shenzhen, China.   T</t>
    </r>
    <r>
      <rPr>
        <sz val="11"/>
        <color theme="1"/>
        <rFont val="等线"/>
        <family val="3"/>
        <charset val="134"/>
      </rPr>
      <t>：</t>
    </r>
    <r>
      <rPr>
        <sz val="11"/>
        <color theme="1"/>
        <rFont val="Arial"/>
        <family val="2"/>
      </rPr>
      <t>0086-0755 2319 6057
                                               Email: Chris@creativemedia-led.com  M: +86 13760258981</t>
    </r>
    <phoneticPr fontId="2" type="noConversion"/>
  </si>
  <si>
    <t>linear light</t>
    <phoneticPr fontId="2" type="noConversion"/>
  </si>
  <si>
    <t>Our price 
without your gift</t>
    <phoneticPr fontId="2" type="noConversion"/>
  </si>
  <si>
    <t>Sum</t>
    <phoneticPr fontId="2" type="noConversion"/>
  </si>
  <si>
    <t>Amount</t>
    <phoneticPr fontId="2" type="noConversion"/>
  </si>
  <si>
    <t>AYASS HOTEL - Project Jordan</t>
  </si>
  <si>
    <t>Louver  Length</t>
  </si>
  <si>
    <t>Louver Qty</t>
  </si>
  <si>
    <t>Y-Connector</t>
  </si>
  <si>
    <t>Al Rakaez Investment Co</t>
  </si>
  <si>
    <t>Mohammad Jarrah</t>
  </si>
  <si>
    <t>Ayass Hotel Al Madinah Al Munawarah St 153 Tilaa Al Ali, Khalda &amp; Um Al Summaq Amman, Amman</t>
  </si>
  <si>
    <t>TEL: 00692 6 554 8961
MOB: 00962 7 91198453</t>
  </si>
  <si>
    <t xml:space="preserve"> Y- Power connector
hs code, 8536690000</t>
    <phoneticPr fontId="2" type="noConversion"/>
  </si>
  <si>
    <t xml:space="preserve"> lead cable ,5m,
with 5 core cable
gray color
hs code, 8536690000</t>
    <phoneticPr fontId="2" type="noConversion"/>
  </si>
  <si>
    <t>L1000*W28*H49mm,DC24V,
12W, RGBW,DMX, IP66
60SMD, 10 pixels</t>
    <phoneticPr fontId="2" type="noConversion"/>
  </si>
  <si>
    <t>L500*W28*H49mm,DC24V,
6W, RGBW,DMX, IP66
30SMD, 5 pixels</t>
    <phoneticPr fontId="2" type="noConversion"/>
  </si>
  <si>
    <t>washer light</t>
    <phoneticPr fontId="2" type="noConversion"/>
  </si>
  <si>
    <t>2026.08.22</t>
    <phoneticPr fontId="2" type="noConversion"/>
  </si>
  <si>
    <t>CM-QT-20260822C01</t>
    <phoneticPr fontId="2" type="noConversion"/>
  </si>
  <si>
    <t>L1000*W37*H61mm,
AC220V,24W3000K,IP66,
15°,</t>
    <phoneticPr fontId="2" type="noConversion"/>
  </si>
  <si>
    <t>L1000*W60*H95mm,
AC220V,48W,3000K,IP66,
60°,</t>
    <phoneticPr fontId="2" type="noConversion"/>
  </si>
  <si>
    <t>L300*W28*H49mm,DC24V,
6W, RGBW,DMX, IP66
30SMD, 5 pixels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</si>
</sst>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24" formatCode="\$#,##0_);[Red]\(\$#,##0\)"/>
    <numFmt numFmtId="26" formatCode="\$#,##0.00_);[Red]\(\$#,##0.00\)"/>
    <numFmt numFmtId="176" formatCode="\¥#,##0.00;\¥\-#,##0.00"/>
    <numFmt numFmtId="177" formatCode="\$#,##0.00;\-\$#,##0.00"/>
    <numFmt numFmtId="178" formatCode="\$0.00"/>
  </numFmts>
  <fonts count="12" x14ac:knownFonts="1">
    <font>
      <sz val="11"/>
      <color theme="1"/>
      <name val="等线"/>
      <charset val="134"/>
      <scheme val="minor"/>
    </font>
    <font>
      <b/>
      <sz val="10"/>
      <name val="Arial"/>
      <family val="2"/>
    </font>
    <font>
      <sz val="9"/>
      <name val="等线"/>
      <family val="3"/>
      <charset val="134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宋体"/>
      <family val="2"/>
      <charset val="134"/>
    </font>
    <font>
      <sz val="11"/>
      <color theme="1"/>
      <name val="等线"/>
      <family val="3"/>
      <charset val="134"/>
    </font>
    <font>
      <b/>
      <sz val="10"/>
      <name val="宋体"/>
      <family val="2"/>
      <charset val="134"/>
    </font>
    <font>
      <b/>
      <sz val="10"/>
      <color rgb="FF000000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shrinkToFit="1"/>
    </xf>
    <xf numFmtId="176" fontId="1" fillId="0" borderId="1" xfId="0" applyNumberFormat="1" applyFont="1" applyBorder="1" applyAlignment="1">
      <alignment horizontal="centerContinuous" vertical="center" wrapText="1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Continuous" vertical="center" wrapText="1"/>
    </xf>
    <xf numFmtId="0" fontId="3" fillId="0" borderId="1" xfId="0" applyFont="1" applyBorder="1" applyAlignment="1">
      <alignment horizont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shrinkToFit="1"/>
    </xf>
    <xf numFmtId="178" fontId="10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wrapText="1" shrinkToFi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Continuous" vertical="center" wrapText="1"/>
    </xf>
    <xf numFmtId="26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26" fontId="4" fillId="0" borderId="0" xfId="0" applyNumberFormat="1" applyFont="1">
      <alignment vertical="center"/>
    </xf>
    <xf numFmtId="24" fontId="4" fillId="0" borderId="0" xfId="0" applyNumberFormat="1" applyFont="1">
      <alignment vertical="center"/>
    </xf>
    <xf numFmtId="26" fontId="4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 wrapText="1" shrinkToFit="1"/>
    </xf>
    <xf numFmtId="0" fontId="1" fillId="0" borderId="4" xfId="0" quotePrefix="1" applyFont="1" applyBorder="1" applyAlignment="1">
      <alignment horizontal="center" vertical="center" shrinkToFi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67945</xdr:colOff>
      <xdr:row>0</xdr:row>
      <xdr:rowOff>106045</xdr:rowOff>
    </xdr:from>
    <xdr:to>
      <xdr:col>1</xdr:col>
      <xdr:colOff>887730</xdr:colOff>
      <xdr:row>0</xdr:row>
      <xdr:rowOff>770890</xdr:rowOff>
    </xdr:to>
    <xdr:pic>
      <xdr:nvPicPr>
        <xdr:cNvPr id="2" name="图片 2" descr="LOGO3">
          <a:extLst>
            <a:ext uri="{FF2B5EF4-FFF2-40B4-BE49-F238E27FC236}">
              <a16:creationId xmlns:a16="http://schemas.microsoft.com/office/drawing/2014/main" id="{D1577069-EB40-44F5-B380-9468C40A0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771" t="14848" b="17372"/>
        <a:stretch>
          <a:fillRect/>
        </a:stretch>
      </xdr:blipFill>
      <xdr:spPr>
        <a:xfrm>
          <a:off x="67945" y="106045"/>
          <a:ext cx="1818005" cy="664845"/>
        </a:xfrm>
        <a:prstGeom prst="rect">
          <a:avLst/>
        </a:prstGeom>
      </xdr:spPr>
    </xdr:pic>
    <xdr:clientData/>
  </xdr:twoCellAnchor>
  <xdr:twoCellAnchor>
    <xdr:from>
      <xdr:col>3</xdr:col>
      <xdr:colOff>68580</xdr:colOff>
      <xdr:row>13</xdr:row>
      <xdr:rowOff>83820</xdr:rowOff>
    </xdr:from>
    <xdr:to>
      <xdr:col>3</xdr:col>
      <xdr:colOff>868680</xdr:colOff>
      <xdr:row>13</xdr:row>
      <xdr:rowOff>579120</xdr:rowOff>
    </xdr:to>
    <xdr:pic>
      <xdr:nvPicPr>
        <xdr:cNvPr id="5" name="图片 133">
          <a:extLst>
            <a:ext uri="{FF2B5EF4-FFF2-40B4-BE49-F238E27FC236}">
              <a16:creationId xmlns:a16="http://schemas.microsoft.com/office/drawing/2014/main" id="{F701CA7D-6DD2-461B-979C-249E3E7BD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08120" y="8244840"/>
          <a:ext cx="8001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38101</xdr:colOff>
      <xdr:row>14</xdr:row>
      <xdr:rowOff>30481</xdr:rowOff>
    </xdr:from>
    <xdr:to>
      <xdr:col>3</xdr:col>
      <xdr:colOff>1028701</xdr:colOff>
      <xdr:row>14</xdr:row>
      <xdr:rowOff>735625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3C3D01E2-2676-BBCE-4350-00F9C4388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77641" y="7566661"/>
          <a:ext cx="990600" cy="705144"/>
        </a:xfrm>
        <a:prstGeom prst="rect">
          <a:avLst/>
        </a:prstGeom>
      </xdr:spPr>
    </xdr:pic>
    <xdr:clientData/>
  </xdr:twoCellAnchor>
  <xdr:oneCellAnchor>
    <xdr:from>
      <xdr:col>3</xdr:col>
      <xdr:colOff>106680</xdr:colOff>
      <xdr:row>8</xdr:row>
      <xdr:rowOff>60960</xdr:rowOff>
    </xdr:from>
    <xdr:ext cx="861060" cy="815340"/>
    <xdr:pic>
      <xdr:nvPicPr>
        <xdr:cNvPr id="3" name="图片 8">
          <a:extLst>
            <a:ext uri="{FF2B5EF4-FFF2-40B4-BE49-F238E27FC236}">
              <a16:creationId xmlns:a16="http://schemas.microsoft.com/office/drawing/2014/main" id="{318DA9D1-0817-42F3-8FD6-85DDEBC95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46220" y="4000500"/>
          <a:ext cx="861060" cy="815340"/>
        </a:xfrm>
        <a:prstGeom prst="rect">
          <a:avLst/>
        </a:prstGeom>
      </xdr:spPr>
    </xdr:pic>
    <xdr:clientData/>
  </xdr:oneCellAnchor>
  <xdr:oneCellAnchor>
    <xdr:from>
      <xdr:col>3</xdr:col>
      <xdr:colOff>106680</xdr:colOff>
      <xdr:row>9</xdr:row>
      <xdr:rowOff>60960</xdr:rowOff>
    </xdr:from>
    <xdr:ext cx="861060" cy="815340"/>
    <xdr:pic>
      <xdr:nvPicPr>
        <xdr:cNvPr id="4" name="图片 8">
          <a:extLst>
            <a:ext uri="{FF2B5EF4-FFF2-40B4-BE49-F238E27FC236}">
              <a16:creationId xmlns:a16="http://schemas.microsoft.com/office/drawing/2014/main" id="{5574AACE-D939-43AD-A24E-D162B55B9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46220" y="6835140"/>
          <a:ext cx="861060" cy="815340"/>
        </a:xfrm>
        <a:prstGeom prst="rect">
          <a:avLst/>
        </a:prstGeom>
      </xdr:spPr>
    </xdr:pic>
    <xdr:clientData/>
  </xdr:oneCellAnchor>
  <xdr:twoCellAnchor editAs="oneCell">
    <xdr:from>
      <xdr:col>3</xdr:col>
      <xdr:colOff>38101</xdr:colOff>
      <xdr:row>12</xdr:row>
      <xdr:rowOff>60960</xdr:rowOff>
    </xdr:from>
    <xdr:to>
      <xdr:col>3</xdr:col>
      <xdr:colOff>1120140</xdr:colOff>
      <xdr:row>12</xdr:row>
      <xdr:rowOff>878629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1EF6ACB3-7B1A-A95F-E95D-FC511C198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77641" y="6835140"/>
          <a:ext cx="1082039" cy="817669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</xdr:colOff>
      <xdr:row>11</xdr:row>
      <xdr:rowOff>76200</xdr:rowOff>
    </xdr:from>
    <xdr:to>
      <xdr:col>3</xdr:col>
      <xdr:colOff>1117600</xdr:colOff>
      <xdr:row>11</xdr:row>
      <xdr:rowOff>868680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922E5E4-420D-2A4D-A90A-B11B6CA30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0" y="5905500"/>
          <a:ext cx="1056640" cy="792480"/>
        </a:xfrm>
        <a:prstGeom prst="rect">
          <a:avLst/>
        </a:prstGeom>
      </xdr:spPr>
    </xdr:pic>
    <xdr:clientData/>
  </xdr:twoCellAnchor>
  <xdr:oneCellAnchor>
    <xdr:from>
      <xdr:col>3</xdr:col>
      <xdr:colOff>106680</xdr:colOff>
      <xdr:row>10</xdr:row>
      <xdr:rowOff>60960</xdr:rowOff>
    </xdr:from>
    <xdr:ext cx="861060" cy="815340"/>
    <xdr:pic>
      <xdr:nvPicPr>
        <xdr:cNvPr id="6" name="图片 8">
          <a:extLst>
            <a:ext uri="{FF2B5EF4-FFF2-40B4-BE49-F238E27FC236}">
              <a16:creationId xmlns:a16="http://schemas.microsoft.com/office/drawing/2014/main" id="{CD7BAB06-6188-4108-889E-A9B9D10FC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46220" y="4945380"/>
          <a:ext cx="861060" cy="8153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57C1B-359F-40AF-B643-6A62537C12AA}">
  <sheetPr codeName="Sheet2">
    <pageSetUpPr fitToPage="1"/>
  </sheetPr>
  <dimension ref="A1:J17"/>
  <sheetViews>
    <sheetView tabSelected="1" view="pageBreakPreview" topLeftCell="A7" zoomScaleNormal="100" zoomScaleSheetLayoutView="100" workbookViewId="0">
      <selection activeCell="H12" sqref="H12"/>
    </sheetView>
  </sheetViews>
  <sheetFormatPr defaultColWidth="10.44140625" defaultRowHeight="30.9" customHeight="1" x14ac:dyDescent="0.25"/>
  <cols>
    <col min="1" max="1" width="14.5546875" style="4" customWidth="1"/>
    <col min="2" max="2" width="15.44140625" style="4" customWidth="1"/>
    <col min="3" max="3" width="27.44140625" style="4" customWidth="1"/>
    <col min="4" max="4" width="16.5546875" style="4" customWidth="1"/>
    <col min="5" max="5" width="12" style="4" customWidth="1"/>
    <col min="6" max="6" width="8.5546875" style="4" customWidth="1"/>
    <col min="7" max="7" width="15.5546875" style="4" customWidth="1"/>
    <col min="8" max="8" width="18.109375" style="4" customWidth="1"/>
    <col min="9" max="9" width="15.77734375" style="4" hidden="1" customWidth="1"/>
    <col min="10" max="10" width="12.44140625" style="4" hidden="1" customWidth="1"/>
    <col min="11" max="16384" width="10.44140625" style="4"/>
  </cols>
  <sheetData>
    <row r="1" spans="1:10" ht="76.650000000000006" customHeight="1" x14ac:dyDescent="0.25">
      <c r="A1" s="29" t="s">
        <v>20</v>
      </c>
      <c r="B1" s="30"/>
      <c r="C1" s="30"/>
      <c r="D1" s="30"/>
      <c r="E1" s="30"/>
      <c r="F1" s="30"/>
      <c r="G1" s="30"/>
      <c r="H1" s="31"/>
    </row>
    <row r="2" spans="1:10" ht="36.6" customHeight="1" x14ac:dyDescent="0.25">
      <c r="A2" s="5" t="s">
        <v>12</v>
      </c>
      <c r="B2" s="32" t="s">
        <v>29</v>
      </c>
      <c r="C2" s="33"/>
      <c r="D2" s="33"/>
      <c r="E2" s="33"/>
      <c r="F2" s="33"/>
      <c r="G2" s="34" t="s">
        <v>14</v>
      </c>
      <c r="H2" s="36" t="s">
        <v>39</v>
      </c>
    </row>
    <row r="3" spans="1:10" ht="27.6" customHeight="1" x14ac:dyDescent="0.25">
      <c r="A3" s="5" t="s">
        <v>13</v>
      </c>
      <c r="B3" s="29" t="s">
        <v>30</v>
      </c>
      <c r="C3" s="30"/>
      <c r="D3" s="30"/>
      <c r="E3" s="30"/>
      <c r="F3" s="31"/>
      <c r="G3" s="35"/>
      <c r="H3" s="37"/>
    </row>
    <row r="4" spans="1:10" ht="33" customHeight="1" x14ac:dyDescent="0.25">
      <c r="A4" s="5" t="s">
        <v>2</v>
      </c>
      <c r="B4" s="29" t="s">
        <v>31</v>
      </c>
      <c r="C4" s="30"/>
      <c r="D4" s="30"/>
      <c r="E4" s="30"/>
      <c r="F4" s="31"/>
      <c r="G4" s="34" t="s">
        <v>15</v>
      </c>
      <c r="H4" s="36" t="s">
        <v>38</v>
      </c>
    </row>
    <row r="5" spans="1:10" ht="30.6" customHeight="1" x14ac:dyDescent="0.25">
      <c r="A5" s="5" t="s">
        <v>3</v>
      </c>
      <c r="B5" s="41" t="s">
        <v>32</v>
      </c>
      <c r="C5" s="42"/>
      <c r="D5" s="42"/>
      <c r="E5" s="42"/>
      <c r="F5" s="43"/>
      <c r="G5" s="35"/>
      <c r="H5" s="37"/>
    </row>
    <row r="6" spans="1:10" ht="26.1" customHeight="1" x14ac:dyDescent="0.25">
      <c r="A6" s="3"/>
      <c r="B6" s="5" t="s">
        <v>0</v>
      </c>
      <c r="C6" s="44"/>
      <c r="D6" s="44"/>
      <c r="E6" s="44"/>
      <c r="F6" s="6" t="s">
        <v>1</v>
      </c>
      <c r="G6" s="44"/>
      <c r="H6" s="44"/>
    </row>
    <row r="7" spans="1:10" ht="36" customHeight="1" x14ac:dyDescent="0.25">
      <c r="A7" s="5" t="s">
        <v>5</v>
      </c>
      <c r="B7" s="38" t="s">
        <v>25</v>
      </c>
      <c r="C7" s="38"/>
      <c r="D7" s="38"/>
      <c r="E7" s="38"/>
      <c r="F7" s="38"/>
      <c r="G7" s="38"/>
      <c r="H7" s="38"/>
    </row>
    <row r="8" spans="1:10" ht="44.4" customHeight="1" x14ac:dyDescent="0.25">
      <c r="A8" s="3"/>
      <c r="B8" s="9" t="s">
        <v>4</v>
      </c>
      <c r="C8" s="12" t="s">
        <v>18</v>
      </c>
      <c r="D8" s="17" t="s">
        <v>19</v>
      </c>
      <c r="E8" s="39" t="s">
        <v>6</v>
      </c>
      <c r="F8" s="40"/>
      <c r="G8" s="1" t="s">
        <v>7</v>
      </c>
      <c r="H8" s="2" t="s">
        <v>8</v>
      </c>
      <c r="I8" s="19" t="s">
        <v>22</v>
      </c>
      <c r="J8" s="4" t="s">
        <v>24</v>
      </c>
    </row>
    <row r="9" spans="1:10" ht="74.400000000000006" customHeight="1" x14ac:dyDescent="0.25">
      <c r="A9" s="5">
        <v>1</v>
      </c>
      <c r="B9" s="5" t="s">
        <v>21</v>
      </c>
      <c r="C9" s="5" t="s">
        <v>35</v>
      </c>
      <c r="D9" s="10"/>
      <c r="E9" s="7">
        <v>110</v>
      </c>
      <c r="F9" s="5" t="s">
        <v>16</v>
      </c>
      <c r="G9" s="18">
        <v>12.8</v>
      </c>
      <c r="H9" s="18">
        <f t="shared" ref="H9:H15" si="0">E9*G9</f>
        <v>1408</v>
      </c>
      <c r="I9" s="22"/>
      <c r="J9" s="20"/>
    </row>
    <row r="10" spans="1:10" ht="74.400000000000006" customHeight="1" x14ac:dyDescent="0.25">
      <c r="A10" s="5">
        <v>2</v>
      </c>
      <c r="B10" s="5" t="s">
        <v>21</v>
      </c>
      <c r="C10" s="5" t="s">
        <v>36</v>
      </c>
      <c r="D10" s="10"/>
      <c r="E10" s="7">
        <v>10</v>
      </c>
      <c r="F10" s="5" t="s">
        <v>16</v>
      </c>
      <c r="G10" s="18">
        <v>8.8000000000000007</v>
      </c>
      <c r="H10" s="18">
        <f t="shared" si="0"/>
        <v>88</v>
      </c>
      <c r="I10" s="22"/>
      <c r="J10" s="20"/>
    </row>
    <row r="11" spans="1:10" ht="74.400000000000006" customHeight="1" x14ac:dyDescent="0.25">
      <c r="A11" s="5">
        <v>3</v>
      </c>
      <c r="B11" s="5" t="s">
        <v>21</v>
      </c>
      <c r="C11" s="5" t="s">
        <v>42</v>
      </c>
      <c r="D11" s="10"/>
      <c r="E11" s="7">
        <v>6</v>
      </c>
      <c r="F11" s="5" t="s">
        <v>16</v>
      </c>
      <c r="G11" s="18">
        <v>6.4</v>
      </c>
      <c r="H11" s="18">
        <f>E11*G11</f>
        <v>38.400000000000006</v>
      </c>
      <c r="I11" s="22"/>
      <c r="J11" s="20"/>
    </row>
    <row r="12" spans="1:10" ht="74.400000000000006" customHeight="1" x14ac:dyDescent="0.25">
      <c r="A12" s="5">
        <v>4</v>
      </c>
      <c r="B12" s="5" t="s">
        <v>37</v>
      </c>
      <c r="C12" s="5" t="s">
        <v>40</v>
      </c>
      <c r="D12" s="10"/>
      <c r="E12" s="7">
        <v>10</v>
      </c>
      <c r="F12" s="5" t="s">
        <v>16</v>
      </c>
      <c r="G12" s="18">
        <v>24</v>
      </c>
      <c r="H12" s="18">
        <f t="shared" si="0"/>
        <v>240</v>
      </c>
      <c r="I12" s="22"/>
      <c r="J12" s="20"/>
    </row>
    <row r="13" spans="1:10" ht="74.400000000000006" customHeight="1" x14ac:dyDescent="0.25">
      <c r="A13" s="5">
        <v>5</v>
      </c>
      <c r="B13" s="5" t="s">
        <v>37</v>
      </c>
      <c r="C13" s="5" t="s">
        <v>41</v>
      </c>
      <c r="D13" s="10"/>
      <c r="E13" s="7">
        <v>12</v>
      </c>
      <c r="F13" s="5" t="s">
        <v>16</v>
      </c>
      <c r="G13" s="18">
        <v>52.2</v>
      </c>
      <c r="H13" s="18">
        <f t="shared" si="0"/>
        <v>626.40000000000009</v>
      </c>
      <c r="I13" s="22"/>
      <c r="J13" s="20"/>
    </row>
    <row r="14" spans="1:10" ht="60" customHeight="1" x14ac:dyDescent="0.25">
      <c r="A14" s="5">
        <v>6</v>
      </c>
      <c r="B14" s="12" t="s">
        <v>17</v>
      </c>
      <c r="C14" s="5" t="s">
        <v>34</v>
      </c>
      <c r="D14" s="15"/>
      <c r="E14" s="13">
        <v>8</v>
      </c>
      <c r="F14" s="13" t="s">
        <v>16</v>
      </c>
      <c r="G14" s="14">
        <v>5.5</v>
      </c>
      <c r="H14" s="14">
        <f t="shared" si="0"/>
        <v>44</v>
      </c>
      <c r="I14" s="22">
        <v>4</v>
      </c>
      <c r="J14" s="20">
        <f t="shared" ref="J14" si="1">E14*I14</f>
        <v>32</v>
      </c>
    </row>
    <row r="15" spans="1:10" ht="60" customHeight="1" x14ac:dyDescent="0.25">
      <c r="A15" s="5">
        <v>7</v>
      </c>
      <c r="B15" s="12" t="s">
        <v>28</v>
      </c>
      <c r="C15" s="5" t="s">
        <v>33</v>
      </c>
      <c r="D15" s="15"/>
      <c r="E15" s="13">
        <v>8</v>
      </c>
      <c r="F15" s="13" t="s">
        <v>16</v>
      </c>
      <c r="G15" s="14">
        <v>5.5</v>
      </c>
      <c r="H15" s="14">
        <f t="shared" si="0"/>
        <v>44</v>
      </c>
      <c r="I15" s="22">
        <v>4</v>
      </c>
      <c r="J15" s="20">
        <f t="shared" ref="J15" si="2">E15*I15</f>
        <v>32</v>
      </c>
    </row>
    <row r="16" spans="1:10" ht="30" customHeight="1" x14ac:dyDescent="0.25">
      <c r="A16" s="5"/>
      <c r="B16" s="5"/>
      <c r="C16" s="5"/>
      <c r="D16" s="16"/>
      <c r="E16" s="25" t="s">
        <v>9</v>
      </c>
      <c r="F16" s="25"/>
      <c r="G16" s="25"/>
      <c r="H16" s="11">
        <f>SUM(H9:H15)</f>
        <v>2488.8000000000002</v>
      </c>
      <c r="I16" s="4" t="s">
        <v>23</v>
      </c>
      <c r="J16" s="21">
        <f>SUM(J9:J15)</f>
        <v>64</v>
      </c>
    </row>
    <row r="17" spans="1:8" ht="129.6" customHeight="1" x14ac:dyDescent="0.25">
      <c r="A17" s="8" t="s">
        <v>10</v>
      </c>
      <c r="B17" s="26" t="s">
        <v>11</v>
      </c>
      <c r="C17" s="27"/>
      <c r="D17" s="27"/>
      <c r="E17" s="27"/>
      <c r="F17" s="27"/>
      <c r="G17" s="27"/>
      <c r="H17" s="28"/>
    </row>
  </sheetData>
  <mergeCells count="15">
    <mergeCell ref="E16:G16"/>
    <mergeCell ref="B17:H17"/>
    <mergeCell ref="A1:H1"/>
    <mergeCell ref="B2:F2"/>
    <mergeCell ref="G2:G3"/>
    <mergeCell ref="H2:H3"/>
    <mergeCell ref="B3:F3"/>
    <mergeCell ref="B7:H7"/>
    <mergeCell ref="E8:F8"/>
    <mergeCell ref="B4:F4"/>
    <mergeCell ref="G4:G5"/>
    <mergeCell ref="H4:H5"/>
    <mergeCell ref="B5:F5"/>
    <mergeCell ref="C6:E6"/>
    <mergeCell ref="G6:H6"/>
  </mergeCells>
  <phoneticPr fontId="2" type="noConversion"/>
  <pageMargins left="0.7" right="0.7" top="0.75" bottom="0.75" header="0.3" footer="0.3"/>
  <pageSetup paperSize="9" scal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A15B-401B-4FDE-BE71-DE58B5401853}">
  <dimension ref="C9:K14"/>
  <sheetViews>
    <sheetView zoomScale="130" zoomScaleNormal="130" workbookViewId="0">
      <selection activeCell="J19" sqref="J18:J19"/>
    </sheetView>
  </sheetViews>
  <sheetFormatPr defaultRowHeight="13.8" x14ac:dyDescent="0.25"/>
  <cols>
    <col min="3" max="3" width="13.21875" bestFit="1" customWidth="1"/>
    <col min="4" max="4" width="10.77734375" customWidth="1"/>
    <col min="5" max="7" width="10.77734375" hidden="1" customWidth="1"/>
    <col min="8" max="10" width="10.77734375" customWidth="1"/>
  </cols>
  <sheetData>
    <row r="9" spans="3:11" ht="25.8" customHeight="1" x14ac:dyDescent="0.25">
      <c r="C9" s="23" t="s">
        <v>26</v>
      </c>
      <c r="D9" s="23" t="s">
        <v>27</v>
      </c>
      <c r="E9" s="23">
        <v>1000</v>
      </c>
      <c r="F9" s="23">
        <v>550</v>
      </c>
      <c r="G9" s="23">
        <v>250</v>
      </c>
      <c r="H9" s="23">
        <v>1000</v>
      </c>
      <c r="I9" s="23">
        <v>550</v>
      </c>
      <c r="J9" s="23">
        <v>250</v>
      </c>
    </row>
    <row r="10" spans="3:11" ht="25.8" customHeight="1" x14ac:dyDescent="0.25">
      <c r="C10" s="23">
        <v>19.25</v>
      </c>
      <c r="D10" s="23">
        <v>3</v>
      </c>
      <c r="E10" s="23">
        <f>19</f>
        <v>19</v>
      </c>
      <c r="F10" s="23">
        <v>0</v>
      </c>
      <c r="G10" s="23">
        <v>1</v>
      </c>
      <c r="H10" s="23">
        <f>E10*D10</f>
        <v>57</v>
      </c>
      <c r="I10" s="23">
        <f>F10*D10</f>
        <v>0</v>
      </c>
      <c r="J10" s="23">
        <f>G10*D10</f>
        <v>3</v>
      </c>
    </row>
    <row r="11" spans="3:11" ht="25.8" customHeight="1" x14ac:dyDescent="0.25">
      <c r="C11" s="23">
        <v>17.25</v>
      </c>
      <c r="D11" s="23">
        <v>4</v>
      </c>
      <c r="E11" s="23">
        <v>17</v>
      </c>
      <c r="F11" s="23">
        <v>0</v>
      </c>
      <c r="G11" s="23">
        <v>1</v>
      </c>
      <c r="H11" s="23">
        <f t="shared" ref="H11" si="0">E11*D11</f>
        <v>68</v>
      </c>
      <c r="I11" s="23">
        <f t="shared" ref="I11:I12" si="1">F11*D11</f>
        <v>0</v>
      </c>
      <c r="J11" s="23">
        <f t="shared" ref="J11:J13" si="2">G11*D11</f>
        <v>4</v>
      </c>
    </row>
    <row r="12" spans="3:11" ht="25.8" customHeight="1" x14ac:dyDescent="0.25">
      <c r="C12" s="23">
        <v>19.55</v>
      </c>
      <c r="D12" s="23">
        <v>12</v>
      </c>
      <c r="E12" s="23">
        <v>19</v>
      </c>
      <c r="F12" s="23">
        <v>1</v>
      </c>
      <c r="G12" s="23">
        <v>0</v>
      </c>
      <c r="H12" s="23">
        <f>E12*D12</f>
        <v>228</v>
      </c>
      <c r="I12" s="23">
        <f t="shared" si="1"/>
        <v>12</v>
      </c>
      <c r="J12" s="23">
        <f t="shared" si="2"/>
        <v>0</v>
      </c>
    </row>
    <row r="13" spans="3:11" ht="25.8" customHeight="1" x14ac:dyDescent="0.25">
      <c r="C13" s="23">
        <v>18.55</v>
      </c>
      <c r="D13" s="23">
        <v>19</v>
      </c>
      <c r="E13" s="23">
        <v>18</v>
      </c>
      <c r="F13" s="23">
        <v>1</v>
      </c>
      <c r="G13" s="23">
        <v>0</v>
      </c>
      <c r="H13" s="23">
        <f>E13*D13</f>
        <v>342</v>
      </c>
      <c r="I13" s="23">
        <f>F13*D13</f>
        <v>19</v>
      </c>
      <c r="J13" s="23">
        <f t="shared" si="2"/>
        <v>0</v>
      </c>
    </row>
    <row r="14" spans="3:11" x14ac:dyDescent="0.25">
      <c r="D14" s="24">
        <f t="shared" ref="D14:G14" si="3">SUM(D10:D13)</f>
        <v>38</v>
      </c>
      <c r="E14" s="24">
        <f t="shared" si="3"/>
        <v>73</v>
      </c>
      <c r="F14" s="24">
        <f t="shared" si="3"/>
        <v>2</v>
      </c>
      <c r="G14" s="24">
        <f t="shared" si="3"/>
        <v>2</v>
      </c>
      <c r="H14" s="24">
        <f>SUM(H10:H13)</f>
        <v>695</v>
      </c>
      <c r="I14" s="24">
        <f t="shared" ref="I14:J14" si="4">SUM(I10:I13)</f>
        <v>31</v>
      </c>
      <c r="J14" s="24">
        <f t="shared" si="4"/>
        <v>7</v>
      </c>
      <c r="K14" s="24">
        <f>(H14*H9+I14*I9+J14*J9)/1000</f>
        <v>713.8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(3)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Chris Shen</cp:lastModifiedBy>
  <cp:lastPrinted>2025-12-31T01:32:52Z</cp:lastPrinted>
  <dcterms:created xsi:type="dcterms:W3CDTF">2018-03-29T01:26:00Z</dcterms:created>
  <dcterms:modified xsi:type="dcterms:W3CDTF">2026-08-28T06:33:13Z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